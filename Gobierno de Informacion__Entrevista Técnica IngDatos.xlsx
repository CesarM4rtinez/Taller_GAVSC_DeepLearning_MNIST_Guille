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01"/>
  <workbookPr/>
  <xr:revisionPtr revIDLastSave="443" documentId="11_33B19DC9894F34C75490E0271C70772ABC3DC42B" xr6:coauthVersionLast="47" xr6:coauthVersionMax="47" xr10:uidLastSave="{DBFB4BBF-1B41-4D0C-BE9F-9D66F6EBEAC0}"/>
  <bookViews>
    <workbookView xWindow="240" yWindow="105" windowWidth="14805" windowHeight="8010" activeTab="1" xr2:uid="{00000000-000D-0000-FFFF-FFFF00000000}"/>
  </bookViews>
  <sheets>
    <sheet name="Resultados Entrevista" sheetId="2" r:id="rId1"/>
    <sheet name="EvaluaciónyDimensione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 l="1"/>
  <c r="C3" i="1"/>
  <c r="C4" i="1"/>
  <c r="C5" i="1"/>
  <c r="C6" i="1"/>
  <c r="C7" i="1"/>
  <c r="C8" i="1"/>
  <c r="C9" i="1"/>
  <c r="C10" i="1"/>
  <c r="C11" i="1"/>
  <c r="C2" i="1"/>
  <c r="C12" i="1"/>
</calcChain>
</file>

<file path=xl/sharedStrings.xml><?xml version="1.0" encoding="utf-8"?>
<sst xmlns="http://schemas.openxmlformats.org/spreadsheetml/2006/main" count="57" uniqueCount="57">
  <si>
    <t>Casos de USO</t>
  </si>
  <si>
    <t>Abastecer a la gerencia de cobranzas y stakeholders de conocimientos basados en modelos de información y analíticos, que permitan unificar los criterios de interpretación de cifras, tomar decisiones con mayor oportunidad, escalar al ritmo de la transformación del negocio en BA, realizar seguimiento continuo a las métricas claves con enfoque a resultados, OKRs transversales y cifras que sean de insumo para el Tablero VP/país.</t>
  </si>
  <si>
    <t>Aspectos a revisar en detalle</t>
  </si>
  <si>
    <t>ANOTACIONES</t>
  </si>
  <si>
    <t>¿Modelo de arquitectura de datos con base en la realidad de cobros?</t>
  </si>
  <si>
    <t>Conoce el entorno de procesos de información de su área, pero tiene dificultad para extrapolar el modelo de operación a un entorno de Data lake.</t>
  </si>
  <si>
    <t>No conoce actualmente sobre modelos de datos y/o arquitecturas de información en la industria del Big Data.</t>
  </si>
  <si>
    <t>¿Estrategia de roles y funciones en torno a la información?</t>
  </si>
  <si>
    <t>Encuentro muchos sesgos con base en lo que se hace hoy en la dinámica de roles del equipo de Cobranzas. Presenta dificultades para conectar las posibilidades que brinda una arquitectura de datos democratizada y los posibles roles entorno a la información.</t>
  </si>
  <si>
    <t>Aquí requerirá un acompañamiento profundo para sentar las bases de la segregación de roles y funciones para cobranzas</t>
  </si>
  <si>
    <t xml:space="preserve">¿Metodología de habilitación de capacidades: </t>
  </si>
  <si>
    <t>Levantamiento RoadMap</t>
  </si>
  <si>
    <t>No se logra identificar un abordaje claro para concluir un alcance de solución objetivo para darle enfoque a su rol analítico</t>
  </si>
  <si>
    <t>Se recomienda desarrollar habilidades blandas claves para esta etapa del proceso diario como garantía de un alto desempeño en su rol líder de información</t>
  </si>
  <si>
    <t>Entregas de valor</t>
  </si>
  <si>
    <t>Si bien logra identificar conceptos y artefactos de información como parte del proceso de una entrega de valor, no logró conectar su propuesta end to end para la necesidad planteada</t>
  </si>
  <si>
    <t>Importante un acompañamiento muy de corto plazo para garantizar el enfoque en resultados, de ser la persona escogida para el rol</t>
  </si>
  <si>
    <t>Herramientas y lenguajes a ocupar</t>
  </si>
  <si>
    <t>Se observa que a nivel técnico, es el principal reto dado que desconoce mucho del pipeline de desarrollo de soluciones analíticas, en el entorno de trabajo (ecosistema analítico). No logró precisar el alcance y niveles de ocupación por herramienta para resolver el caso de uso.</t>
  </si>
  <si>
    <t>Es súper importante dedicar mucho esfuerzo en aprendizaje e implementación, para el desarrollo de su rol en la VPSC. Es de los puntos a destacar más retadores para el candidato en caso de ser seleccionado.</t>
  </si>
  <si>
    <t>Metodología de desarrollo analítico</t>
  </si>
  <si>
    <t>No se logra identificar una metodología de desarrollo clara para la propuesta de solución, en varios puntos queda fragmentado y es difícil estimar niveles de usabilidad.</t>
  </si>
  <si>
    <t>Hay que reforzar mucho estas habilidades técnicas y a su vez la conexión con los objetivos, resultados y expectativas.</t>
  </si>
  <si>
    <t>Preguntas rasgos y comportamientos</t>
  </si>
  <si>
    <r>
      <rPr>
        <b/>
        <sz val="9"/>
        <color rgb="FF00B050"/>
        <rFont val="Aptos Narrow"/>
        <scheme val="minor"/>
      </rPr>
      <t>Conclusión</t>
    </r>
    <r>
      <rPr>
        <sz val="9"/>
        <color rgb="FF00B050"/>
        <rFont val="Aptos Narrow"/>
        <scheme val="minor"/>
      </rPr>
      <t>: se percibe un trabajo responsable y consistente, sin embargo me preocupa la capacidad de trabajo en equipo, y al combinarlo con los puntos anteriores en la evaluación del caso de uso, su objetividad, abordaje y orientación al resultado, aprovechando todos los recursos e insumos que tiene a su alrededor. Se recomienda trabajar mucho en habilidades blandas de comunicación efectiva, adoptar la técnica de escucha activa, y fortalecer las competencias técnicas básicas, para el desarrollo del rol de ingeniero de datos.</t>
    </r>
  </si>
  <si>
    <t>¿Te sientes más cómod@ desarrollando scripts solo, o en un modelo de contribución de código donde puedan estar dos o más a la vez?</t>
  </si>
  <si>
    <t>Prefiere el trabajo individual, eleva niveles de concentración</t>
  </si>
  <si>
    <t>¿Tienes mayor confianza en resultados de validaciones sobre las soluciones analíticas realizadas por tí o por otras personas?</t>
  </si>
  <si>
    <t>Prefiere la validación desde su criterio experto</t>
  </si>
  <si>
    <t>¿Te sientes más cómodo direccionando el desarrollo de soluciones analíticas desde tu conocimiento, intuición y experiencia, o prefieres seguir lineamientos estandarizados e instrucciones claras para llegar al resultado deseado?</t>
  </si>
  <si>
    <t>Desde la experiencia personal, aunque no descarta del todo trabajar en un entorno de control</t>
  </si>
  <si>
    <t>¿Cómo abordas los retos de aprendizaje e implementación de conceptos, técnicas, procesos, y en general herramientas para el desarrollo de soluciones?</t>
  </si>
  <si>
    <t>Realizar cursos y utilizar buscadores</t>
  </si>
  <si>
    <t>¿Cuando hay inconvenientes de comunicación, entendimiento de las partes interesadas sobre la solución que se esté trabajando, incumplimiento de promesas y servicios de quienes tienes dependencias o identificas rasgos/comportamientos que no están alineados con la cultura B, que están impactando negativamente llegar a los resultados, cómo abordas la situación?</t>
  </si>
  <si>
    <t>Acude a alguien más para que gestione y concilie (prefiere evitar la confrontación, también cuidando los rasgos culturales de trabajo marcados en Banco Agrícola)</t>
  </si>
  <si>
    <t>ITEM</t>
  </si>
  <si>
    <t>Calificación</t>
  </si>
  <si>
    <t>Escala Categórica</t>
  </si>
  <si>
    <t>No 
conoce</t>
  </si>
  <si>
    <t>Gobierno de Información</t>
  </si>
  <si>
    <t>Muy 
básico</t>
  </si>
  <si>
    <t>Modelo Operativo Ecosistema Analítico</t>
  </si>
  <si>
    <t>Básico</t>
  </si>
  <si>
    <t>Arquitectura de Datos</t>
  </si>
  <si>
    <t>Algo de Experiencia</t>
  </si>
  <si>
    <t>SQL y lenguajes de consulta</t>
  </si>
  <si>
    <t>Experiencia Significativa</t>
  </si>
  <si>
    <t>Python</t>
  </si>
  <si>
    <t>Herramientas Evolución Analítica</t>
  </si>
  <si>
    <t>Metodología de Desarrollo Analítico</t>
  </si>
  <si>
    <t>Monitoreo Continuo</t>
  </si>
  <si>
    <t>Automatización</t>
  </si>
  <si>
    <t>Estrategias de Adopción</t>
  </si>
  <si>
    <t>TOTAL</t>
  </si>
  <si>
    <t>Habilidad en la argumentación</t>
  </si>
  <si>
    <t>Hay oportunidades de mejora en la amplitud de conceptos, también transmitir ideas más concretas para llegar mucho mejor al que escucha.</t>
  </si>
  <si>
    <t>Capacidad propositiva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</si>
</sst>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11"/>
      <color rgb="FF000000"/>
      <name val="Aptos Narrow"/>
      <charset val="1"/>
    </font>
    <font>
      <b/>
      <sz val="12"/>
      <color theme="1"/>
      <name val="Aptos Narrow"/>
      <family val="2"/>
      <scheme val="minor"/>
    </font>
    <font>
      <b/>
      <u val="double"/>
      <sz val="12"/>
      <color theme="1"/>
      <name val="Aptos Narrow"/>
      <family val="2"/>
      <scheme val="minor"/>
    </font>
    <font>
      <sz val="9"/>
      <color theme="1"/>
      <name val="Aptos Narrow"/>
      <family val="2"/>
      <scheme val="minor"/>
    </font>
    <font>
      <sz val="11"/>
      <color rgb="FF444444"/>
      <name val="Aptos Narrow"/>
      <charset val="1"/>
    </font>
    <font>
      <sz val="9"/>
      <color rgb="FF00B050"/>
      <name val="Aptos Narrow"/>
      <family val="2"/>
      <scheme val="minor"/>
    </font>
    <font>
      <b/>
      <sz val="9"/>
      <color rgb="FF00B050"/>
      <name val="Aptos Narrow"/>
      <scheme val="minor"/>
    </font>
    <font>
      <sz val="9"/>
      <color rgb="FF00B05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horizontal="right"/>
    </xf>
    <xf numFmtId="0" fontId="4"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xf>
    <xf numFmtId="0" fontId="6" fillId="0" borderId="0" xfId="0" applyFont="1"/>
    <xf numFmtId="0" fontId="5" fillId="0" borderId="0" xfId="0" applyFont="1" applyAlignment="1">
      <alignment wrapText="1"/>
    </xf>
    <xf numFmtId="0" fontId="7"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xf>
    <xf numFmtId="0" fontId="9" fillId="0" borderId="0" xfId="0" applyFont="1" applyAlignment="1">
      <alignment horizontal="center" vertical="center" wrapText="1"/>
    </xf>
    <xf numFmtId="0" fontId="7" fillId="0" borderId="0" xfId="0" applyFont="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D21CD-CB13-46C8-BDD1-3E5E3CA64222}">
  <dimension ref="A1:M18"/>
  <sheetViews>
    <sheetView workbookViewId="0">
      <selection activeCell="A25" sqref="A25"/>
    </sheetView>
  </sheetViews>
  <sheetFormatPr defaultRowHeight="15"/>
  <cols>
    <col min="1" max="1" width="57.85546875" customWidth="1"/>
    <col min="2" max="2" width="76.7109375" customWidth="1"/>
    <col min="3" max="3" width="28" customWidth="1"/>
  </cols>
  <sheetData>
    <row r="1" spans="1:13">
      <c r="A1" s="15" t="s">
        <v>0</v>
      </c>
      <c r="B1" s="15"/>
      <c r="C1" s="15"/>
    </row>
    <row r="2" spans="1:13" ht="57" customHeight="1">
      <c r="A2" s="14" t="s">
        <v>1</v>
      </c>
      <c r="B2" s="14"/>
      <c r="C2" s="14"/>
      <c r="D2" s="8"/>
      <c r="E2" s="8"/>
      <c r="F2" s="8"/>
      <c r="G2" s="8"/>
      <c r="H2" s="8"/>
      <c r="I2" s="8"/>
      <c r="J2" s="8"/>
      <c r="K2" s="8"/>
      <c r="L2" s="8"/>
      <c r="M2" s="8"/>
    </row>
    <row r="3" spans="1:13" ht="15.75">
      <c r="A3" s="13" t="s">
        <v>2</v>
      </c>
      <c r="B3" s="13"/>
      <c r="C3" s="2" t="s">
        <v>3</v>
      </c>
    </row>
    <row r="4" spans="1:13" ht="57.75" customHeight="1">
      <c r="A4" s="3" t="s">
        <v>4</v>
      </c>
      <c r="B4" s="7" t="s">
        <v>5</v>
      </c>
      <c r="C4" s="12" t="s">
        <v>6</v>
      </c>
    </row>
    <row r="5" spans="1:13" ht="62.25" customHeight="1">
      <c r="A5" s="3" t="s">
        <v>7</v>
      </c>
      <c r="B5" s="7" t="s">
        <v>8</v>
      </c>
      <c r="C5" s="12" t="s">
        <v>9</v>
      </c>
    </row>
    <row r="6" spans="1:13">
      <c r="A6" s="2" t="s">
        <v>10</v>
      </c>
      <c r="B6" s="3"/>
      <c r="C6" s="3"/>
    </row>
    <row r="7" spans="1:13" ht="73.5" customHeight="1">
      <c r="A7" s="9" t="s">
        <v>11</v>
      </c>
      <c r="B7" s="7" t="s">
        <v>12</v>
      </c>
      <c r="C7" s="12" t="s">
        <v>13</v>
      </c>
    </row>
    <row r="8" spans="1:13" ht="54" customHeight="1">
      <c r="A8" s="9" t="s">
        <v>14</v>
      </c>
      <c r="B8" s="7" t="s">
        <v>15</v>
      </c>
      <c r="C8" s="12" t="s">
        <v>16</v>
      </c>
    </row>
    <row r="9" spans="1:13" ht="70.5">
      <c r="A9" s="9" t="s">
        <v>17</v>
      </c>
      <c r="B9" s="7" t="s">
        <v>18</v>
      </c>
      <c r="C9" s="12" t="s">
        <v>19</v>
      </c>
    </row>
    <row r="10" spans="1:13" ht="47.25">
      <c r="A10" s="9" t="s">
        <v>20</v>
      </c>
      <c r="B10" s="7" t="s">
        <v>21</v>
      </c>
      <c r="C10" s="12" t="s">
        <v>22</v>
      </c>
    </row>
    <row r="11" spans="1:13">
      <c r="A11" s="3"/>
      <c r="B11" s="3"/>
    </row>
    <row r="12" spans="1:13" ht="56.25" customHeight="1">
      <c r="A12" s="2" t="s">
        <v>23</v>
      </c>
      <c r="B12" s="16" t="s">
        <v>24</v>
      </c>
      <c r="C12" s="17"/>
    </row>
    <row r="13" spans="1:13" ht="23.25">
      <c r="A13" s="11" t="s">
        <v>25</v>
      </c>
      <c r="B13" s="7" t="s">
        <v>26</v>
      </c>
    </row>
    <row r="14" spans="1:13" ht="23.25">
      <c r="A14" s="11" t="s">
        <v>27</v>
      </c>
      <c r="B14" s="7" t="s">
        <v>28</v>
      </c>
    </row>
    <row r="15" spans="1:13" ht="35.25">
      <c r="A15" s="11" t="s">
        <v>29</v>
      </c>
      <c r="B15" s="7" t="s">
        <v>30</v>
      </c>
    </row>
    <row r="16" spans="1:13" ht="23.25">
      <c r="A16" s="11" t="s">
        <v>31</v>
      </c>
      <c r="B16" s="7" t="s">
        <v>32</v>
      </c>
    </row>
    <row r="17" spans="1:2" ht="58.5">
      <c r="A17" s="11" t="s">
        <v>33</v>
      </c>
      <c r="B17" s="7" t="s">
        <v>34</v>
      </c>
    </row>
    <row r="18" spans="1:2">
      <c r="A18" s="11"/>
      <c r="B18" s="10"/>
    </row>
  </sheetData>
  <mergeCells count="4">
    <mergeCell ref="A3:B3"/>
    <mergeCell ref="A2:C2"/>
    <mergeCell ref="A1:C1"/>
    <mergeCell ref="B12:C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abSelected="1" workbookViewId="0">
      <selection activeCell="B11" sqref="B11"/>
    </sheetView>
  </sheetViews>
  <sheetFormatPr defaultRowHeight="15"/>
  <cols>
    <col min="1" max="1" width="35.28515625" bestFit="1" customWidth="1"/>
    <col min="2" max="2" width="11.28515625" style="3" bestFit="1" customWidth="1"/>
    <col min="3" max="3" width="22.140625" style="3" bestFit="1" customWidth="1"/>
    <col min="4" max="4" width="7.42578125" style="3" bestFit="1" customWidth="1"/>
    <col min="5" max="5" width="7.42578125" style="3" customWidth="1"/>
    <col min="6" max="6" width="6.7109375" style="3" customWidth="1"/>
    <col min="7" max="7" width="11.28515625" style="3" customWidth="1"/>
    <col min="8" max="8" width="11.7109375" style="3" customWidth="1"/>
    <col min="10" max="10" width="23.28515625" bestFit="1" customWidth="1"/>
    <col min="12" max="12" width="23.28515625" bestFit="1" customWidth="1"/>
  </cols>
  <sheetData>
    <row r="1" spans="1:10">
      <c r="A1" s="2" t="s">
        <v>35</v>
      </c>
      <c r="B1" s="2" t="s">
        <v>36</v>
      </c>
      <c r="C1" s="2" t="s">
        <v>37</v>
      </c>
      <c r="H1" s="3">
        <v>10</v>
      </c>
      <c r="I1" s="1">
        <v>1</v>
      </c>
      <c r="J1" s="2" t="s">
        <v>38</v>
      </c>
    </row>
    <row r="2" spans="1:10">
      <c r="A2" t="s">
        <v>39</v>
      </c>
      <c r="B2" s="3">
        <v>1</v>
      </c>
      <c r="C2" s="3" t="str">
        <f>VLOOKUP(B2,$I$1:$J$5,2,FALSE)</f>
        <v>No 
conoce</v>
      </c>
      <c r="D2" s="2"/>
      <c r="E2" s="2"/>
      <c r="F2" s="2"/>
      <c r="G2" s="2"/>
      <c r="H2" s="2">
        <v>20</v>
      </c>
      <c r="I2" s="1">
        <v>2</v>
      </c>
      <c r="J2" s="2" t="s">
        <v>40</v>
      </c>
    </row>
    <row r="3" spans="1:10">
      <c r="A3" t="s">
        <v>41</v>
      </c>
      <c r="B3" s="3">
        <v>2</v>
      </c>
      <c r="C3" s="3" t="str">
        <f>VLOOKUP(B3,$I$1:$J$5,2,FALSE)</f>
        <v>Muy 
básico</v>
      </c>
      <c r="H3" s="3">
        <v>30</v>
      </c>
      <c r="I3" s="1">
        <v>3</v>
      </c>
      <c r="J3" s="2" t="s">
        <v>42</v>
      </c>
    </row>
    <row r="4" spans="1:10">
      <c r="A4" t="s">
        <v>43</v>
      </c>
      <c r="B4" s="3">
        <v>2</v>
      </c>
      <c r="C4" s="3" t="str">
        <f>VLOOKUP(B4,$I$1:$J$5,2,FALSE)</f>
        <v>Muy 
básico</v>
      </c>
      <c r="H4" s="3">
        <v>40</v>
      </c>
      <c r="I4" s="1">
        <v>4</v>
      </c>
      <c r="J4" s="2" t="s">
        <v>44</v>
      </c>
    </row>
    <row r="5" spans="1:10">
      <c r="A5" t="s">
        <v>45</v>
      </c>
      <c r="B5" s="3">
        <v>3</v>
      </c>
      <c r="C5" s="3" t="str">
        <f>VLOOKUP(B5,$I$1:$J$5,2,FALSE)</f>
        <v>Básico</v>
      </c>
      <c r="H5" s="3">
        <v>50</v>
      </c>
      <c r="I5" s="1">
        <v>5</v>
      </c>
      <c r="J5" s="2" t="s">
        <v>46</v>
      </c>
    </row>
    <row r="6" spans="1:10">
      <c r="A6" t="s">
        <v>47</v>
      </c>
      <c r="B6" s="3">
        <v>1</v>
      </c>
      <c r="C6" s="3" t="str">
        <f>VLOOKUP(B6,$I$1:$J$5,2,FALSE)</f>
        <v>No 
conoce</v>
      </c>
    </row>
    <row r="7" spans="1:10">
      <c r="A7" t="s">
        <v>48</v>
      </c>
      <c r="B7" s="3">
        <v>1</v>
      </c>
      <c r="C7" s="3" t="str">
        <f>VLOOKUP(B7,$I$1:$J$5,2,FALSE)</f>
        <v>No 
conoce</v>
      </c>
    </row>
    <row r="8" spans="1:10">
      <c r="A8" t="s">
        <v>49</v>
      </c>
      <c r="B8" s="3">
        <v>2</v>
      </c>
      <c r="C8" s="3" t="str">
        <f>VLOOKUP(B8,$I$1:$J$5,2,FALSE)</f>
        <v>Muy 
básico</v>
      </c>
    </row>
    <row r="9" spans="1:10">
      <c r="A9" t="s">
        <v>50</v>
      </c>
      <c r="B9" s="3">
        <v>2</v>
      </c>
      <c r="C9" s="3" t="str">
        <f>VLOOKUP(B9,$I$1:$J$5,2,FALSE)</f>
        <v>Muy 
básico</v>
      </c>
    </row>
    <row r="10" spans="1:10">
      <c r="A10" t="s">
        <v>51</v>
      </c>
      <c r="B10" s="3">
        <v>4</v>
      </c>
      <c r="C10" s="3" t="str">
        <f>VLOOKUP(B10,$I$1:$J$5,2,FALSE)</f>
        <v>Algo de Experiencia</v>
      </c>
    </row>
    <row r="11" spans="1:10">
      <c r="A11" t="s">
        <v>52</v>
      </c>
      <c r="B11" s="3">
        <v>2</v>
      </c>
      <c r="C11" s="3" t="str">
        <f>VLOOKUP(B11,$I$1:$J$5,2,FALSE)</f>
        <v>Muy 
básico</v>
      </c>
    </row>
    <row r="12" spans="1:10" ht="15.75">
      <c r="A12" s="4" t="s">
        <v>53</v>
      </c>
      <c r="B12" s="5">
        <f>SUM(B2:B11)</f>
        <v>20</v>
      </c>
      <c r="C12" s="6" t="str">
        <f>VLOOKUP(B12,H1:J5,3,TRUE)</f>
        <v>Muy 
básico</v>
      </c>
    </row>
    <row r="15" spans="1:10">
      <c r="A15" t="s">
        <v>54</v>
      </c>
      <c r="B15" s="3" t="s">
        <v>55</v>
      </c>
    </row>
    <row r="16" spans="1:10">
      <c r="A16" t="s">
        <v>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9E72C0612590247AE545C5068FC4932" ma:contentTypeVersion="16" ma:contentTypeDescription="Crear nuevo documento." ma:contentTypeScope="" ma:versionID="d3c1abe6894b988ed2b56bc39810ec5e">
  <xsd:schema xmlns:xsd="http://www.w3.org/2001/XMLSchema" xmlns:xs="http://www.w3.org/2001/XMLSchema" xmlns:p="http://schemas.microsoft.com/office/2006/metadata/properties" xmlns:ns1="http://schemas.microsoft.com/sharepoint/v3" xmlns:ns2="8e5e3804-f61f-4f57-9421-0e1f113f1968" xmlns:ns3="dffbcdf7-7245-45f9-881f-59bfb8a3c146" targetNamespace="http://schemas.microsoft.com/office/2006/metadata/properties" ma:root="true" ma:fieldsID="c16bd465f23f84204852b8ae0d1e1f7a" ns1:_="" ns2:_="" ns3:_="">
    <xsd:import namespace="http://schemas.microsoft.com/sharepoint/v3"/>
    <xsd:import namespace="8e5e3804-f61f-4f57-9421-0e1f113f1968"/>
    <xsd:import namespace="dffbcdf7-7245-45f9-881f-59bfb8a3c14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e5e3804-f61f-4f57-9421-0e1f113f19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3a41489-9efd-4705-82fc-442e31f9b69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ffbcdf7-7245-45f9-881f-59bfb8a3c146"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a9c6c0ca-62a1-4dac-b37d-1e30485fe6bf}" ma:internalName="TaxCatchAll" ma:showField="CatchAllData" ma:web="dffbcdf7-7245-45f9-881f-59bfb8a3c1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ffbcdf7-7245-45f9-881f-59bfb8a3c146" xsi:nil="true"/>
    <lcf76f155ced4ddcb4097134ff3c332f xmlns="8e5e3804-f61f-4f57-9421-0e1f113f1968">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F02935F8-509D-46BD-A162-2B4F6F64130E}"/>
</file>

<file path=customXml/itemProps2.xml><?xml version="1.0" encoding="utf-8"?>
<ds:datastoreItem xmlns:ds="http://schemas.openxmlformats.org/officeDocument/2006/customXml" ds:itemID="{183E1C3E-6FCA-40CC-A5F5-CFA441192658}"/>
</file>

<file path=customXml/itemProps3.xml><?xml version="1.0" encoding="utf-8"?>
<ds:datastoreItem xmlns:ds="http://schemas.openxmlformats.org/officeDocument/2006/customXml" ds:itemID="{6E7BD441-9C17-49BA-8CE3-981DA76441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Cesar Ovidio Martinez Chicas</cp:lastModifiedBy>
  <cp:revision/>
  <dcterms:created xsi:type="dcterms:W3CDTF">2024-07-12T17:25:08Z</dcterms:created>
  <dcterms:modified xsi:type="dcterms:W3CDTF">2025-07-03T15:56:39Z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0x01010049E72C0612590247AE545C5068FC4932</vt:lpwstr>
  </property>
  <property fmtid="{D5CDD505-2E9C-101B-9397-08002B2CF9AE}" pid="3" name="MediaServiceImageTags">
    <vt:lpwstr/>
  </property>
  <property fmtid="{D5CDD505-2E9C-101B-9397-08002B2CF9AE}" pid="4" name="MSIP_Label_7c33d0a5-4c38-4058-b701-15f9500cbbb9_Enabled">
    <vt:lpwstr>true</vt:lpwstr>
  </property>
  <property fmtid="{D5CDD505-2E9C-101B-9397-08002B2CF9AE}" pid="5" name="MSIP_Label_7c33d0a5-4c38-4058-b701-15f9500cbbb9_SetDate">
    <vt:lpwstr>2025-07-03T15:56:05Z</vt:lpwstr>
  </property>
  <property fmtid="{D5CDD505-2E9C-101B-9397-08002B2CF9AE}" pid="6" name="MSIP_Label_7c33d0a5-4c38-4058-b701-15f9500cbbb9_Method">
    <vt:lpwstr>Standard</vt:lpwstr>
  </property>
  <property fmtid="{D5CDD505-2E9C-101B-9397-08002B2CF9AE}" pid="7" name="MSIP_Label_7c33d0a5-4c38-4058-b701-15f9500cbbb9_Name">
    <vt:lpwstr>Bancoagricola Clasificación - Interna</vt:lpwstr>
  </property>
  <property fmtid="{D5CDD505-2E9C-101B-9397-08002B2CF9AE}" pid="8" name="MSIP_Label_7c33d0a5-4c38-4058-b701-15f9500cbbb9_SiteId">
    <vt:lpwstr>b5e244bd-c492-495b-8b10-61bfd453e423</vt:lpwstr>
  </property>
  <property fmtid="{D5CDD505-2E9C-101B-9397-08002B2CF9AE}" pid="9" name="MSIP_Label_7c33d0a5-4c38-4058-b701-15f9500cbbb9_ActionId">
    <vt:lpwstr>61c6c800-a2f7-4fe0-b54c-ed23780ddac0</vt:lpwstr>
  </property>
  <property fmtid="{D5CDD505-2E9C-101B-9397-08002B2CF9AE}" pid="10" name="MSIP_Label_7c33d0a5-4c38-4058-b701-15f9500cbbb9_ContentBits">
    <vt:lpwstr>0</vt:lpwstr>
  </property>
  <property fmtid="{D5CDD505-2E9C-101B-9397-08002B2CF9AE}" pid="11" name="MSIP_Label_7c33d0a5-4c38-4058-b701-15f9500cbbb9_Tag">
    <vt:lpwstr>10, 3, 0, 2</vt:lpwstr>
  </property>
</Properties>
</file>